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nag\Downloads\"/>
    </mc:Choice>
  </mc:AlternateContent>
  <xr:revisionPtr revIDLastSave="0" documentId="13_ncr:1_{AD273804-B374-4614-86C3-B168513F56D7}" xr6:coauthVersionLast="47" xr6:coauthVersionMax="47" xr10:uidLastSave="{00000000-0000-0000-0000-000000000000}"/>
  <bookViews>
    <workbookView xWindow="-120" yWindow="-120" windowWidth="29040" windowHeight="16440" activeTab="2" xr2:uid="{CCB6721C-DD4C-4643-8BDD-C935CFFB21C4}"/>
  </bookViews>
  <sheets>
    <sheet name="tbl_Parametros" sheetId="2" r:id="rId1"/>
    <sheet name="Base1" sheetId="1" r:id="rId2"/>
    <sheet name="qry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<sst xmlns="http://schemas.openxmlformats.org/spreadsheetml/2006/main" count="232" uniqueCount="195">
  <si>
    <t>Empresa</t>
  </si>
  <si>
    <t>Status</t>
  </si>
  <si>
    <t>Cedente</t>
  </si>
  <si>
    <t>penCodigo</t>
  </si>
  <si>
    <t>ValorDep</t>
  </si>
  <si>
    <t>Recibo_Gerado</t>
  </si>
  <si>
    <t>Status_Individual</t>
  </si>
  <si>
    <t>Titulo</t>
  </si>
  <si>
    <t>Vencimento_Ajustado(fer)</t>
  </si>
  <si>
    <t>Status_TotalVencidos</t>
  </si>
  <si>
    <t>TotalVencidos_Grupo</t>
  </si>
  <si>
    <t>QtdVencidos_Grupo</t>
  </si>
  <si>
    <t>Cedente01</t>
  </si>
  <si>
    <t>Cedente02</t>
  </si>
  <si>
    <t>Cedente03</t>
  </si>
  <si>
    <t>Cedente04</t>
  </si>
  <si>
    <t>Cedente05</t>
  </si>
  <si>
    <t>Cedente06</t>
  </si>
  <si>
    <t>Cedente07</t>
  </si>
  <si>
    <t>Cedente08</t>
  </si>
  <si>
    <t>Cedente09</t>
  </si>
  <si>
    <t>LIQUIDAR 2 VENCIDO(S) DO GRUPO (IDG 010401   - Desconto)</t>
  </si>
  <si>
    <t>POSSÍVEL LIQUIDAÇÃO</t>
  </si>
  <si>
    <t>12-08-2026</t>
  </si>
  <si>
    <t>CREDITO COMPATIVEL</t>
  </si>
  <si>
    <t>10-08-2026</t>
  </si>
  <si>
    <t>101010/001</t>
  </si>
  <si>
    <t>101010-02</t>
  </si>
  <si>
    <t>DataConciliacao</t>
  </si>
  <si>
    <t>EMP1</t>
  </si>
  <si>
    <t>let</t>
  </si>
  <si>
    <t xml:space="preserve">    // =========================================================================</t>
  </si>
  <si>
    <t xml:space="preserve">    // PARÂMETROS DE CONEXÃO (Ajuste conforme necessário)</t>
  </si>
  <si>
    <t xml:space="preserve">    // 1) Lê o valor da data da tabela de parâmetros no Excel (Ajustado para Base1)</t>
  </si>
  <si>
    <t xml:space="preserve">    ParamValue = Excel.CurrentWorkbook(){[Name="Base1"]}[Content]{0}[DataConciliacao],</t>
  </si>
  <si>
    <t xml:space="preserve">    </t>
  </si>
  <si>
    <t xml:space="preserve">    // Garante a conversão para data e formata para dd/MM/yyyy</t>
  </si>
  <si>
    <t xml:space="preserve">    ParamDate = Date.ToText(Date.From(ParamValue), "dd/MM/yyyy"),</t>
  </si>
  <si>
    <t xml:space="preserve">    // 2) Consulta SQL com a remoção da Data de Liquidação do Título</t>
  </si>
  <si>
    <t xml:space="preserve">    SqlText = "</t>
  </si>
  <si>
    <t xml:space="preserve">    SET NOCOUNT ON;</t>
  </si>
  <si>
    <t xml:space="preserve">    DECLARE @dt NVARCHAR(10) = '" &amp; ParamDate &amp; "';</t>
  </si>
  <si>
    <t xml:space="preserve">    DECLARE @rcpCodigo INT = NULL;</t>
  </si>
  <si>
    <t xml:space="preserve">    WITH idg_permitidos AS (</t>
  </si>
  <si>
    <t xml:space="preserve">        SELECT codigo </t>
  </si>
  <si>
    <t xml:space="preserve">        FROM (VALUES                </t>
  </si>
  <si>
    <t xml:space="preserve">            ('010301'),('010401'),('010411'),('010493'),('010701'),('010730'),('010731'),('010793'),</t>
  </si>
  <si>
    <t xml:space="preserve">            ('011001'),('011101'),('011109'),('011117'),('011192'),('011401'),('011481'),('011801'),</t>
  </si>
  <si>
    <t xml:space="preserve">            ('011893'),('012092'),('013401'),('013601'),('013692'),('014201'),('014211'),('014231'),</t>
  </si>
  <si>
    <t xml:space="preserve">            ('014301'),('014401'),('011410'),('015601'),('015901'),('016611'),('016801'),('016901'),</t>
  </si>
  <si>
    <t xml:space="preserve">            ('017101'),('017901'),('017993'),('018001'),('018011'),('019501'),('019511'),('020401'),</t>
  </si>
  <si>
    <t xml:space="preserve">            ('020410'),('021401'),('021481'),('024101'),('025101'),('025111'),('030501'),('030511'),</t>
  </si>
  <si>
    <t xml:space="preserve">            ('085101'),('085110'),('085111'),('172401'),('182401'),('191601'),('191611'),('192401'),</t>
  </si>
  <si>
    <t xml:space="preserve">            ('201601'),('206501'),('206593'),('220401'),('223101'),('225111'),('225501'),('225503'),</t>
  </si>
  <si>
    <t xml:space="preserve">            ('226001'),('226011'),('226017'),('226031'),('226109'),('227501'),('227801'),('227817'),</t>
  </si>
  <si>
    <t xml:space="preserve">            ('228301'),('228317'),('228717'),('230801'),('230831'),('241601'),('241611'),('246611'),</t>
  </si>
  <si>
    <t xml:space="preserve">            ('401601'),('401692'),('411601'),('411611'),('421601'),('421611'),('421692'),('422301'),</t>
  </si>
  <si>
    <t xml:space="preserve">            ('422392'),('550401'),('550411'),('550430'),('550481'),('550801'),('550807'),('550808'),</t>
  </si>
  <si>
    <t xml:space="preserve">            ('550809'),('550811'),('550817'),('550870'),('550882'),('551109'),('551111'),('551117'),</t>
  </si>
  <si>
    <t xml:space="preserve">            ('551181'),('551401'),('551411'),('551481'),('551601'),('555101'),('555111'),('555311'),</t>
  </si>
  <si>
    <t xml:space="preserve">            ('555361'),('559901'),('660401'),('660411'),('660430'),('660493'),('660511'),('660701'),</t>
  </si>
  <si>
    <t xml:space="preserve">            ('660709'),('660711'),('660731'),('660793'),('660801'),('660802'),('660809'),('660811'),</t>
  </si>
  <si>
    <t xml:space="preserve">            ('660817'),('660870'),('661001'),('661104'),('661109'),('661111'),('661117'),('661125'),</t>
  </si>
  <si>
    <t xml:space="preserve">            ('661401'),('661411'),('661601'),('661611'),('661717'),('662009'),('662011'),('662017'),</t>
  </si>
  <si>
    <t xml:space="preserve">            ('662301'),('662311'),('662317'),('662401'),('662411'),('664101'),('664130'),('664201'),</t>
  </si>
  <si>
    <t xml:space="preserve">            ('664231'),('664301'),('664311'),('664330'),('665101'),('665111'),('665192'),('665601'),</t>
  </si>
  <si>
    <t xml:space="preserve">            ('665611'),('666401'),('666430'),('667901'),('667911'),('667930'),('668001'),('668011'),</t>
  </si>
  <si>
    <t xml:space="preserve">            ('669501'),('910801'),('910870'),('920801'),('920811'),('920870'),('930801'),('930870')</t>
  </si>
  <si>
    <t xml:space="preserve">        ) AS t(codigo)</t>
  </si>
  <si>
    <t xml:space="preserve">    ),</t>
  </si>
  <si>
    <t xml:space="preserve">    feriados AS (</t>
  </si>
  <si>
    <t xml:space="preserve">        SELECT DISTINCT CONVERT(DATE, ferData) AS ferData</t>
  </si>
  <si>
    <t xml:space="preserve">    vencimentos_base AS (</t>
  </si>
  <si>
    <t xml:space="preserve">        SELECT DISTINCT CONVERT(DATE, ing.ingVencimento) AS vencOriginal</t>
  </si>
  <si>
    <t xml:space="preserve">        WHERE EXISTS (</t>
  </si>
  <si>
    <t xml:space="preserve">            SELECT 1 FROM idg_permitidos ip</t>
  </si>
  <si>
    <t xml:space="preserve">            WHERE RIGHT('000000' + LTRIM(RTRIM(ip.codigo)), 6) = RIGHT('000000' + LTRIM(RTRIM(ing.idgCodigo)), 6)</t>
  </si>
  <si>
    <t xml:space="preserve">        )</t>
  </si>
  <si>
    <t xml:space="preserve">    ajuste AS (</t>
  </si>
  <si>
    <t xml:space="preserve">        SELECT vencOriginal, vencOriginal AS dataAtual, 0 AS nivel</t>
  </si>
  <si>
    <t xml:space="preserve">        FROM vencimentos_base</t>
  </si>
  <si>
    <t xml:space="preserve">        UNION ALL</t>
  </si>
  <si>
    <t xml:space="preserve">        SELECT a.vencOriginal, DATEADD(DAY, 1, a.dataAtual), a.nivel + 1</t>
  </si>
  <si>
    <t xml:space="preserve">        FROM ajuste a</t>
  </si>
  <si>
    <t xml:space="preserve">        WHERE a.nivel &lt; 15</t>
  </si>
  <si>
    <t xml:space="preserve">          AND (</t>
  </si>
  <si>
    <t xml:space="preserve">                DATEDIFF(DAY, 0, a.dataAtual) % 7 IN (5,6)</t>
  </si>
  <si>
    <t xml:space="preserve">                OR EXISTS (SELECT 1 FROM feriados f WHERE f.ferData = a.dataAtual)</t>
  </si>
  <si>
    <t xml:space="preserve">              )</t>
  </si>
  <si>
    <t xml:space="preserve">    vencimento_real AS (</t>
  </si>
  <si>
    <t xml:space="preserve">        SELECT vencOriginal, MIN(dataAtual) AS VencimentoReal</t>
  </si>
  <si>
    <t xml:space="preserve">        WHERE NOT (</t>
  </si>
  <si>
    <t xml:space="preserve">        GROUP BY vencOriginal</t>
  </si>
  <si>
    <t xml:space="preserve">    creditos AS (</t>
  </si>
  <si>
    <t xml:space="preserve">        SELECT</t>
  </si>
  <si>
    <t xml:space="preserve">            p.penCodigo, p.empCodigo, p.cedCodigo, p.penValorOriginal,</t>
  </si>
  <si>
    <t xml:space="preserve">            p.penData, p.eveCodigo, p.penComplemento, p.rcpCodigo</t>
  </si>
  <si>
    <t xml:space="preserve">        WHERE p.eveCodigo IN (18,118,811)</t>
  </si>
  <si>
    <t xml:space="preserve">                (@rcpCodigo IS NOT NULL AND p.rcpCodigo = @rcpCodigo)</t>
  </si>
  <si>
    <t xml:space="preserve">                OR (@rcpCodigo IS NULL AND CONVERT(VARCHAR(10), p.penData, 103) = REPLACE(@dt, '-', '/'))</t>
  </si>
  <si>
    <t xml:space="preserve">    titulos AS (</t>
  </si>
  <si>
    <t xml:space="preserve">            ing.ingCodigo, </t>
  </si>
  <si>
    <t xml:space="preserve">            ing.ingDocumento, </t>
  </si>
  <si>
    <t xml:space="preserve">            ing.empCodigo, </t>
  </si>
  <si>
    <t xml:space="preserve">            ing.cedCodigo,</t>
  </si>
  <si>
    <t xml:space="preserve">            ing.ingValordeFace, </t>
  </si>
  <si>
    <t xml:space="preserve">            ing.ingVencimento, </t>
  </si>
  <si>
    <t xml:space="preserve">            vr.VencimentoReal,</t>
  </si>
  <si>
    <t xml:space="preserve">            ing.idgCodigo,</t>
  </si>
  <si>
    <t xml:space="preserve">            foc.fneDescricao,</t>
  </si>
  <si>
    <t xml:space="preserve">            tpp.tpaDescricao,</t>
  </si>
  <si>
    <t xml:space="preserve">            sit.sitDescricao</t>
  </si>
  <si>
    <t xml:space="preserve">        LEFT JOIN vencimento_real vr ON vr.vencOriginal = CONVERT(DATE, ing.ingVencimento)</t>
  </si>
  <si>
    <t xml:space="preserve">    candidatos_individual AS (</t>
  </si>
  <si>
    <t xml:space="preserve">            c.penCodigo,</t>
  </si>
  <si>
    <t xml:space="preserve">            t.ingCodigo,</t>
  </si>
  <si>
    <t xml:space="preserve">            t.ingDocumento,</t>
  </si>
  <si>
    <t xml:space="preserve">            t.idgCodigo,</t>
  </si>
  <si>
    <t xml:space="preserve">            t.fneDescricao,</t>
  </si>
  <si>
    <t xml:space="preserve">            t.tpaDescricao,</t>
  </si>
  <si>
    <t xml:space="preserve">            t.sitDescricao,</t>
  </si>
  <si>
    <t xml:space="preserve">            t.ingValordeFace,</t>
  </si>
  <si>
    <t xml:space="preserve">            t.ingVencimento,</t>
  </si>
  <si>
    <t xml:space="preserve">            t.VencimentoReal,</t>
  </si>
  <si>
    <t xml:space="preserve">            CASE</t>
  </si>
  <si>
    <t xml:space="preserve">                WHEN CONVERT(DATE, t.VencimentoReal) = CONVERT(DATE, c.penData) THEN 'CREDITO COMPATIVEL'</t>
  </si>
  <si>
    <t xml:space="preserve">                WHEN c.penData BETWEEN DATEADD(DAY, -2, t.VencimentoReal) AND DATEADD(DAY, 3, t.VencimentoReal) THEN 'POSSÍVEL LIQUIDAÇÃO'</t>
  </si>
  <si>
    <t xml:space="preserve">                ELSE 'FORA DA DATA - VERIFICAR'</t>
  </si>
  <si>
    <t xml:space="preserve">            END AS Status_Match,</t>
  </si>
  <si>
    <t xml:space="preserve">            ROW_NUMBER() OVER (</t>
  </si>
  <si>
    <t xml:space="preserve">                PARTITION BY c.penCodigo</t>
  </si>
  <si>
    <t xml:space="preserve">                ORDER BY</t>
  </si>
  <si>
    <t xml:space="preserve">                    CASE WHEN CONVERT(DATE, t.VencimentoReal) = CONVERT(DATE, c.penData) THEN 0</t>
  </si>
  <si>
    <t xml:space="preserve">                         WHEN c.penData BETWEEN DATEADD(DAY, -2, t.VencimentoReal) AND t.VencimentoReal THEN 1</t>
  </si>
  <si>
    <t xml:space="preserve">                         ELSE 2</t>
  </si>
  <si>
    <t xml:space="preserve">                    END,</t>
  </si>
  <si>
    <t xml:space="preserve">                    ABS(DATEDIFF(DAY, t.VencimentoReal, c.penData))</t>
  </si>
  <si>
    <t xml:space="preserve">            ) AS RankCandidato</t>
  </si>
  <si>
    <t xml:space="preserve">        FROM creditos c</t>
  </si>
  <si>
    <t xml:space="preserve">        JOIN titulos t</t>
  </si>
  <si>
    <t xml:space="preserve">            ON t.empCodigo = c.empCodigo</t>
  </si>
  <si>
    <t xml:space="preserve">           AND t.cedCodigo = c.cedCodigo</t>
  </si>
  <si>
    <t xml:space="preserve">           AND t.ingValordeFace = ABS(c.penValorOriginal)</t>
  </si>
  <si>
    <t xml:space="preserve">    vencidos_por_grupo AS (</t>
  </si>
  <si>
    <t xml:space="preserve">            t.empCodigo,</t>
  </si>
  <si>
    <t xml:space="preserve">            t.cedCodigo,</t>
  </si>
  <si>
    <t xml:space="preserve">            SUM(t.ingValordeFace) AS TotalVencidos,</t>
  </si>
  <si>
    <t xml:space="preserve">            COUNT(*) AS QtdVencidos</t>
  </si>
  <si>
    <t xml:space="preserve">        FROM titulos t</t>
  </si>
  <si>
    <t xml:space="preserve">        WHERE t.VencimentoReal &lt; CONVERT(DATE, GETDATE())</t>
  </si>
  <si>
    <t xml:space="preserve">        GROUP BY </t>
  </si>
  <si>
    <t xml:space="preserve">            t.empCodigo, </t>
  </si>
  <si>
    <t xml:space="preserve">            t.cedCodigo, </t>
  </si>
  <si>
    <t xml:space="preserve">            t.sitDescricao</t>
  </si>
  <si>
    <t xml:space="preserve">    )</t>
  </si>
  <si>
    <t xml:space="preserve">    SELECT</t>
  </si>
  <si>
    <t xml:space="preserve">        c.penCodigo,</t>
  </si>
  <si>
    <t xml:space="preserve">        emp.empSigla AS Empresa,</t>
  </si>
  <si>
    <t xml:space="preserve">        pesced.pesNome AS Cedente,</t>
  </si>
  <si>
    <t xml:space="preserve">        FORMAT(c.penData, 'dd-MM-yyyy') AS penData,</t>
  </si>
  <si>
    <t xml:space="preserve">        c.penValorOriginal AS ValorDep,</t>
  </si>
  <si>
    <t xml:space="preserve">        c.rcpCodigo AS Recibo_Gerado,</t>
  </si>
  <si>
    <t xml:space="preserve">        cand.Status_Match AS Status_Individual,</t>
  </si>
  <si>
    <t xml:space="preserve">        cand.ingDocumento AS Doc_Individual,</t>
  </si>
  <si>
    <t xml:space="preserve">        FORMAT(cand.VencimentoReal, 'dd-MM-yyyy') AS Vencimento_Real_Individual,</t>
  </si>
  <si>
    <t xml:space="preserve">        CASE </t>
  </si>
  <si>
    <t xml:space="preserve">            WHEN vgm.TotalVencidos IS NOT NULL THEN 'LIQUIDAR ' + CAST(vgm.QtdVencidos AS VARCHAR) + ' VENCIDO(S) DO GRUPO (IDG ' + vgm.idgCodigo + ' - ' + ISNULL(vgm.fneDescricao,'') + ')'</t>
  </si>
  <si>
    <t xml:space="preserve">        END AS Status_TotalVencidos,</t>
  </si>
  <si>
    <t xml:space="preserve">        vgm.TotalVencidos AS TotalVencidos_Grupo,</t>
  </si>
  <si>
    <t xml:space="preserve">        vgm.QtdVencidos AS QtdVencidos_Grupo</t>
  </si>
  <si>
    <t xml:space="preserve">    FROM creditos c</t>
  </si>
  <si>
    <t xml:space="preserve">    LEFT JOIN candidatos_individual cand ON cand.penCodigo = c.penCodigo AND cand.RankCandidato = 1</t>
  </si>
  <si>
    <t xml:space="preserve">    OUTER APPLY (</t>
  </si>
  <si>
    <t xml:space="preserve">        SELECT TOP 1 vg.*</t>
  </si>
  <si>
    <t xml:space="preserve">        FROM vencidos_por_grupo vg</t>
  </si>
  <si>
    <t xml:space="preserve">        WHERE vg.empCodigo = c.empCodigo</t>
  </si>
  <si>
    <t xml:space="preserve">          AND vg.cedCodigo = c.cedCodigo</t>
  </si>
  <si>
    <t xml:space="preserve">          AND vg.TotalVencidos = ABS(c.penValorOriginal)</t>
  </si>
  <si>
    <t xml:space="preserve">    ) vgm</t>
  </si>
  <si>
    <t xml:space="preserve">    ORDER BY c.penData, c.penCodigo</t>
  </si>
  <si>
    <t xml:space="preserve">    OPTION (MAXRECURSION 100);</t>
  </si>
  <si>
    <t xml:space="preserve">    ",</t>
  </si>
  <si>
    <t>in</t>
  </si>
  <si>
    <t xml:space="preserve">    BancoDeDados = "SEU_BANCO",</t>
  </si>
  <si>
    <t xml:space="preserve">    Servidor = "SEU_SERVIDOR",</t>
  </si>
  <si>
    <t xml:space="preserve">        FROM servidor.dbo.nfIngressos ing</t>
  </si>
  <si>
    <t xml:space="preserve">        FROM servidor.dbo.nfFeriado</t>
  </si>
  <si>
    <t xml:space="preserve">        FROM servidor.dbo.nfPendencia p</t>
  </si>
  <si>
    <t xml:space="preserve">        LEFT JOIN servidor.dbo.nfIdentificadorGlobal idg ON idg.idgCodigo = ing.idgCodigo</t>
  </si>
  <si>
    <t xml:space="preserve">        LEFT JOIN servidor.dbo.nfFocoNegocio foc ON foc.fneCodigo = idg.fneCodigo</t>
  </si>
  <si>
    <t xml:space="preserve">        LEFT JOIN servidor.dbo.nfTipoPapel tpp ON tpp.tpaCodigo = idg.tpaCodigo</t>
  </si>
  <si>
    <t xml:space="preserve">        LEFT JOIN servidor.dbo.nfSituacao sit ON sit.sitCodigo = idg.sitCodigo</t>
  </si>
  <si>
    <t xml:space="preserve">    LEFT JOIN servidor.dbo.nfCedente ced ON ced.cedCodigo = c.cedCodigo AND ced.empCodigo = c.empCodigo</t>
  </si>
  <si>
    <t xml:space="preserve">    LEFT JOIN servidor.dbo.nfPessoa pesced ON pesced.pesCNPJCPF = ced.pesCNPJCPF</t>
  </si>
  <si>
    <t xml:space="preserve">    LEFT JOIN servidor.dbo.nfEmpresa emp ON emp.empCodigo = c.empCodigo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</si>
</sst>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0" fontId="0" fillId="0" borderId="4" xfId="0" applyBorder="1" applyAlignment="1">
      <alignment horizontal="center"/>
    </xf>
    <xf numFmtId="0" fontId="0" fillId="0" borderId="4" xfId="0" applyBorder="1"/>
    <xf numFmtId="2" fontId="0" fillId="0" borderId="4" xfId="0" applyNumberFormat="1" applyBorder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B08B6-2CB9-4A0D-A294-FE1687B2F020}" name="tbl_Parametros" displayName="tbl_Parametros" ref="A1:A2" totalsRowShown="0">
  <autoFilter ref="A1:A2" xr:uid="{890B08B6-2CB9-4A0D-A294-FE1687B2F020}"/>
  <tableColumns count="1">
    <tableColumn id="1" xr3:uid="{FB0CF614-1F85-4C45-889E-AF0D31A7AD5F}" name="DataConciliacao" dataDxfId="0">
      <calculatedColumnFormula>TODAY()-1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7C41-26CD-4C98-817F-25F03C0DE7B2}">
  <dimension ref="A1:A2"/>
  <sheetViews>
    <sheetView workbookViewId="0">
      <selection activeCell="C27" sqref="C27"/>
    </sheetView>
  </sheetViews>
  <sheetFormatPr defaultRowHeight="15" x14ac:dyDescent="0.25"/>
  <cols>
    <col min="1" max="1" width="18.140625" bestFit="1" customWidth="1"/>
  </cols>
  <sheetData>
    <row r="1" spans="1:1" x14ac:dyDescent="0.25">
      <c r="A1" t="s">
        <v>28</v>
      </c>
    </row>
    <row r="2" spans="1:1" x14ac:dyDescent="0.25">
      <c r="A2" s="8">
        <f ca="1">TODAY()-1</f>
        <v>46244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A4B1F-2F76-4BDC-B597-5E4529CC9300}">
  <dimension ref="A5:L14"/>
  <sheetViews>
    <sheetView showGridLines="0" workbookViewId="0">
      <selection activeCell="C34" sqref="C34"/>
    </sheetView>
  </sheetViews>
  <sheetFormatPr defaultRowHeight="15" x14ac:dyDescent="0.25"/>
  <cols>
    <col min="1" max="1" width="8.85546875" bestFit="1" customWidth="1"/>
    <col min="2" max="2" width="9.85546875" bestFit="1" customWidth="1"/>
    <col min="3" max="3" width="72.28515625" bestFit="1" customWidth="1"/>
    <col min="4" max="4" width="10.85546875" bestFit="1" customWidth="1"/>
    <col min="5" max="5" width="11.28515625" bestFit="1" customWidth="1"/>
    <col min="6" max="6" width="14.85546875" bestFit="1" customWidth="1"/>
    <col min="7" max="7" width="20.7109375" bestFit="1" customWidth="1"/>
    <col min="8" max="8" width="10.7109375" bestFit="1" customWidth="1"/>
    <col min="9" max="9" width="25" bestFit="1" customWidth="1"/>
    <col min="10" max="10" width="55.140625" bestFit="1" customWidth="1"/>
    <col min="11" max="11" width="20.42578125" bestFit="1" customWidth="1"/>
    <col min="12" max="12" width="19.28515625" bestFit="1" customWidth="1"/>
  </cols>
  <sheetData>
    <row r="5" spans="1:12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4" t="s">
        <v>11</v>
      </c>
    </row>
    <row r="6" spans="1:12" x14ac:dyDescent="0.25">
      <c r="A6" s="5" t="s">
        <v>29</v>
      </c>
      <c r="B6" s="5" t="str">
        <f t="shared" ref="B6:B14" si="0">IF(F6="", "", IF(OR(F6=0, F6="0"), "Em Aberto", "Liquidado"))</f>
        <v>Liquidado</v>
      </c>
      <c r="C6" s="6" t="s">
        <v>12</v>
      </c>
      <c r="D6" s="6">
        <v>1234567</v>
      </c>
      <c r="E6" s="7">
        <v>-4106571.61</v>
      </c>
      <c r="F6" s="6">
        <v>1011101</v>
      </c>
      <c r="G6" s="6"/>
      <c r="H6" s="6"/>
      <c r="I6" s="6"/>
      <c r="J6" s="6"/>
      <c r="K6" s="6"/>
      <c r="L6" s="6"/>
    </row>
    <row r="7" spans="1:12" x14ac:dyDescent="0.25">
      <c r="A7" s="5" t="s">
        <v>29</v>
      </c>
      <c r="B7" s="5" t="str">
        <f t="shared" si="0"/>
        <v>Liquidado</v>
      </c>
      <c r="C7" s="6" t="s">
        <v>13</v>
      </c>
      <c r="D7" s="6">
        <v>1234568</v>
      </c>
      <c r="E7" s="7">
        <v>-404317.59</v>
      </c>
      <c r="F7" s="6">
        <v>1011102</v>
      </c>
      <c r="G7" s="6"/>
      <c r="H7" s="6"/>
      <c r="I7" s="6"/>
      <c r="J7" s="6"/>
      <c r="K7" s="6"/>
      <c r="L7" s="6"/>
    </row>
    <row r="8" spans="1:12" x14ac:dyDescent="0.25">
      <c r="A8" s="5" t="s">
        <v>29</v>
      </c>
      <c r="B8" s="5" t="str">
        <f t="shared" si="0"/>
        <v>Liquidado</v>
      </c>
      <c r="C8" s="6" t="s">
        <v>14</v>
      </c>
      <c r="D8" s="6">
        <v>1234569</v>
      </c>
      <c r="E8" s="7">
        <v>-206624.56</v>
      </c>
      <c r="F8" s="6">
        <v>1011103</v>
      </c>
      <c r="G8" s="6"/>
      <c r="H8" s="6"/>
      <c r="I8" s="6"/>
      <c r="J8" s="6" t="s">
        <v>21</v>
      </c>
      <c r="K8" s="7">
        <v>-206624.56</v>
      </c>
      <c r="L8" s="6">
        <v>2</v>
      </c>
    </row>
    <row r="9" spans="1:12" x14ac:dyDescent="0.25">
      <c r="A9" s="5" t="s">
        <v>29</v>
      </c>
      <c r="B9" s="5" t="str">
        <f t="shared" si="0"/>
        <v>Liquidado</v>
      </c>
      <c r="C9" s="6" t="s">
        <v>15</v>
      </c>
      <c r="D9" s="6">
        <v>1234560</v>
      </c>
      <c r="E9" s="7">
        <v>-190827.32</v>
      </c>
      <c r="F9" s="6">
        <v>1011104</v>
      </c>
      <c r="G9" s="6" t="s">
        <v>22</v>
      </c>
      <c r="H9" s="6" t="s">
        <v>26</v>
      </c>
      <c r="I9" s="6" t="s">
        <v>23</v>
      </c>
      <c r="J9" s="6"/>
      <c r="K9" s="6"/>
      <c r="L9" s="6"/>
    </row>
    <row r="10" spans="1:12" x14ac:dyDescent="0.25">
      <c r="A10" s="5" t="s">
        <v>29</v>
      </c>
      <c r="B10" s="5" t="str">
        <f t="shared" si="0"/>
        <v>Em Aberto</v>
      </c>
      <c r="C10" s="6" t="s">
        <v>16</v>
      </c>
      <c r="D10" s="6">
        <v>1234561</v>
      </c>
      <c r="E10" s="7">
        <v>-106080.11</v>
      </c>
      <c r="F10" s="6">
        <v>0</v>
      </c>
      <c r="G10" s="6"/>
      <c r="H10" s="6"/>
      <c r="I10" s="6"/>
      <c r="J10" s="6"/>
      <c r="K10" s="6"/>
      <c r="L10" s="6"/>
    </row>
    <row r="11" spans="1:12" x14ac:dyDescent="0.25">
      <c r="A11" s="5" t="s">
        <v>29</v>
      </c>
      <c r="B11" s="5" t="str">
        <f t="shared" si="0"/>
        <v>Liquidado</v>
      </c>
      <c r="C11" s="6" t="s">
        <v>17</v>
      </c>
      <c r="D11" s="6">
        <v>1234562</v>
      </c>
      <c r="E11" s="7">
        <v>-56745.32</v>
      </c>
      <c r="F11" s="6">
        <v>1011106</v>
      </c>
      <c r="G11" s="6"/>
      <c r="H11" s="6"/>
      <c r="I11" s="6"/>
      <c r="J11" s="6"/>
      <c r="K11" s="6"/>
      <c r="L11" s="6"/>
    </row>
    <row r="12" spans="1:12" x14ac:dyDescent="0.25">
      <c r="A12" s="5" t="s">
        <v>29</v>
      </c>
      <c r="B12" s="5" t="str">
        <f t="shared" si="0"/>
        <v>Liquidado</v>
      </c>
      <c r="C12" s="6" t="s">
        <v>18</v>
      </c>
      <c r="D12" s="6">
        <v>1234563</v>
      </c>
      <c r="E12" s="7">
        <v>-29857.4</v>
      </c>
      <c r="F12" s="6">
        <v>1011107</v>
      </c>
      <c r="G12" s="6" t="s">
        <v>24</v>
      </c>
      <c r="H12" s="6" t="s">
        <v>27</v>
      </c>
      <c r="I12" s="6" t="s">
        <v>25</v>
      </c>
      <c r="J12" s="6"/>
      <c r="K12" s="6"/>
      <c r="L12" s="6"/>
    </row>
    <row r="13" spans="1:12" x14ac:dyDescent="0.25">
      <c r="A13" s="5" t="s">
        <v>29</v>
      </c>
      <c r="B13" s="5" t="str">
        <f t="shared" si="0"/>
        <v>Liquidado</v>
      </c>
      <c r="C13" s="6" t="s">
        <v>19</v>
      </c>
      <c r="D13" s="6">
        <v>1234564</v>
      </c>
      <c r="E13" s="7">
        <v>-2125.73</v>
      </c>
      <c r="F13" s="6">
        <v>1011108</v>
      </c>
      <c r="G13" s="6"/>
      <c r="H13" s="6"/>
      <c r="I13" s="6"/>
      <c r="J13" s="6"/>
      <c r="K13" s="6"/>
      <c r="L13" s="6"/>
    </row>
    <row r="14" spans="1:12" x14ac:dyDescent="0.25">
      <c r="A14" s="5" t="s">
        <v>29</v>
      </c>
      <c r="B14" s="5" t="str">
        <f t="shared" si="0"/>
        <v>Em Aberto</v>
      </c>
      <c r="C14" s="6" t="s">
        <v>20</v>
      </c>
      <c r="D14" s="6">
        <v>1234565</v>
      </c>
      <c r="E14" s="7">
        <v>-50</v>
      </c>
      <c r="F14" s="6">
        <v>0</v>
      </c>
      <c r="G14" s="6"/>
      <c r="H14" s="6"/>
      <c r="I14" s="6"/>
      <c r="J14" s="6"/>
      <c r="K14" s="6"/>
      <c r="L14" s="6"/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CE06-107E-4965-B78E-0BDCBCC7DE25}">
  <dimension ref="A1:A210"/>
  <sheetViews>
    <sheetView showGridLines="0" tabSelected="1" topLeftCell="A193" workbookViewId="0">
      <selection activeCell="C221" sqref="C221"/>
    </sheetView>
  </sheetViews>
  <sheetFormatPr defaultRowHeight="15" x14ac:dyDescent="0.25"/>
  <cols>
    <col min="1" max="1" width="100.140625" customWidth="1"/>
  </cols>
  <sheetData>
    <row r="1" spans="1:1" x14ac:dyDescent="0.25">
      <c r="A1" s="9" t="s">
        <v>30</v>
      </c>
    </row>
    <row r="2" spans="1:1" x14ac:dyDescent="0.25">
      <c r="A2" s="9" t="s">
        <v>31</v>
      </c>
    </row>
    <row r="3" spans="1:1" x14ac:dyDescent="0.25">
      <c r="A3" s="9" t="s">
        <v>32</v>
      </c>
    </row>
    <row r="4" spans="1:1" x14ac:dyDescent="0.25">
      <c r="A4" s="9" t="s">
        <v>31</v>
      </c>
    </row>
    <row r="5" spans="1:1" x14ac:dyDescent="0.25">
      <c r="A5" s="9" t="s">
        <v>184</v>
      </c>
    </row>
    <row r="6" spans="1:1" x14ac:dyDescent="0.25">
      <c r="A6" s="9" t="s">
        <v>183</v>
      </c>
    </row>
    <row r="7" spans="1:1" x14ac:dyDescent="0.25">
      <c r="A7" s="9"/>
    </row>
    <row r="8" spans="1:1" x14ac:dyDescent="0.25">
      <c r="A8" s="9" t="s">
        <v>33</v>
      </c>
    </row>
    <row r="9" spans="1:1" x14ac:dyDescent="0.25">
      <c r="A9" s="9" t="s">
        <v>34</v>
      </c>
    </row>
    <row r="10" spans="1:1" x14ac:dyDescent="0.25">
      <c r="A10" s="9" t="s">
        <v>35</v>
      </c>
    </row>
    <row r="11" spans="1:1" x14ac:dyDescent="0.25">
      <c r="A11" s="9" t="s">
        <v>36</v>
      </c>
    </row>
    <row r="12" spans="1:1" x14ac:dyDescent="0.25">
      <c r="A12" s="9" t="s">
        <v>37</v>
      </c>
    </row>
    <row r="13" spans="1:1" x14ac:dyDescent="0.25">
      <c r="A13" s="9"/>
    </row>
    <row r="14" spans="1:1" x14ac:dyDescent="0.25">
      <c r="A14" s="9" t="s">
        <v>38</v>
      </c>
    </row>
    <row r="15" spans="1:1" x14ac:dyDescent="0.25">
      <c r="A15" s="9" t="s">
        <v>39</v>
      </c>
    </row>
    <row r="16" spans="1:1" x14ac:dyDescent="0.25">
      <c r="A16" s="9" t="s">
        <v>40</v>
      </c>
    </row>
    <row r="17" spans="1:1" x14ac:dyDescent="0.25">
      <c r="A17" s="9"/>
    </row>
    <row r="18" spans="1:1" x14ac:dyDescent="0.25">
      <c r="A18" s="9" t="s">
        <v>41</v>
      </c>
    </row>
    <row r="19" spans="1:1" x14ac:dyDescent="0.25">
      <c r="A19" s="9" t="s">
        <v>42</v>
      </c>
    </row>
    <row r="20" spans="1:1" x14ac:dyDescent="0.25">
      <c r="A20" s="9"/>
    </row>
    <row r="21" spans="1:1" x14ac:dyDescent="0.25">
      <c r="A21" s="9" t="s">
        <v>43</v>
      </c>
    </row>
    <row r="22" spans="1:1" x14ac:dyDescent="0.25">
      <c r="A22" s="9" t="s">
        <v>44</v>
      </c>
    </row>
    <row r="23" spans="1:1" x14ac:dyDescent="0.25">
      <c r="A23" s="9" t="s">
        <v>45</v>
      </c>
    </row>
    <row r="24" spans="1:1" x14ac:dyDescent="0.25">
      <c r="A24" s="9" t="s">
        <v>46</v>
      </c>
    </row>
    <row r="25" spans="1:1" x14ac:dyDescent="0.25">
      <c r="A25" s="9" t="s">
        <v>47</v>
      </c>
    </row>
    <row r="26" spans="1:1" x14ac:dyDescent="0.25">
      <c r="A26" s="9" t="s">
        <v>48</v>
      </c>
    </row>
    <row r="27" spans="1:1" x14ac:dyDescent="0.25">
      <c r="A27" s="9" t="s">
        <v>49</v>
      </c>
    </row>
    <row r="28" spans="1:1" x14ac:dyDescent="0.25">
      <c r="A28" s="9" t="s">
        <v>50</v>
      </c>
    </row>
    <row r="29" spans="1:1" x14ac:dyDescent="0.25">
      <c r="A29" s="9" t="s">
        <v>51</v>
      </c>
    </row>
    <row r="30" spans="1:1" x14ac:dyDescent="0.25">
      <c r="A30" s="9" t="s">
        <v>52</v>
      </c>
    </row>
    <row r="31" spans="1:1" x14ac:dyDescent="0.25">
      <c r="A31" s="9" t="s">
        <v>53</v>
      </c>
    </row>
    <row r="32" spans="1:1" x14ac:dyDescent="0.25">
      <c r="A32" s="9" t="s">
        <v>54</v>
      </c>
    </row>
    <row r="33" spans="1:1" x14ac:dyDescent="0.25">
      <c r="A33" s="9" t="s">
        <v>55</v>
      </c>
    </row>
    <row r="34" spans="1:1" x14ac:dyDescent="0.25">
      <c r="A34" s="9" t="s">
        <v>56</v>
      </c>
    </row>
    <row r="35" spans="1:1" x14ac:dyDescent="0.25">
      <c r="A35" s="9" t="s">
        <v>57</v>
      </c>
    </row>
    <row r="36" spans="1:1" x14ac:dyDescent="0.25">
      <c r="A36" s="9" t="s">
        <v>58</v>
      </c>
    </row>
    <row r="37" spans="1:1" x14ac:dyDescent="0.25">
      <c r="A37" s="9" t="s">
        <v>59</v>
      </c>
    </row>
    <row r="38" spans="1:1" x14ac:dyDescent="0.25">
      <c r="A38" s="9" t="s">
        <v>60</v>
      </c>
    </row>
    <row r="39" spans="1:1" x14ac:dyDescent="0.25">
      <c r="A39" s="9" t="s">
        <v>61</v>
      </c>
    </row>
    <row r="40" spans="1:1" x14ac:dyDescent="0.25">
      <c r="A40" s="9" t="s">
        <v>62</v>
      </c>
    </row>
    <row r="41" spans="1:1" x14ac:dyDescent="0.25">
      <c r="A41" s="9" t="s">
        <v>63</v>
      </c>
    </row>
    <row r="42" spans="1:1" x14ac:dyDescent="0.25">
      <c r="A42" s="9" t="s">
        <v>64</v>
      </c>
    </row>
    <row r="43" spans="1:1" x14ac:dyDescent="0.25">
      <c r="A43" s="9" t="s">
        <v>65</v>
      </c>
    </row>
    <row r="44" spans="1:1" x14ac:dyDescent="0.25">
      <c r="A44" s="9" t="s">
        <v>66</v>
      </c>
    </row>
    <row r="45" spans="1:1" x14ac:dyDescent="0.25">
      <c r="A45" s="9" t="s">
        <v>67</v>
      </c>
    </row>
    <row r="46" spans="1:1" x14ac:dyDescent="0.25">
      <c r="A46" s="9" t="s">
        <v>68</v>
      </c>
    </row>
    <row r="47" spans="1:1" x14ac:dyDescent="0.25">
      <c r="A47" s="9" t="s">
        <v>69</v>
      </c>
    </row>
    <row r="48" spans="1:1" x14ac:dyDescent="0.25">
      <c r="A48" s="9"/>
    </row>
    <row r="49" spans="1:1" x14ac:dyDescent="0.25">
      <c r="A49" s="9" t="s">
        <v>70</v>
      </c>
    </row>
    <row r="50" spans="1:1" x14ac:dyDescent="0.25">
      <c r="A50" s="9" t="s">
        <v>71</v>
      </c>
    </row>
    <row r="51" spans="1:1" x14ac:dyDescent="0.25">
      <c r="A51" s="9" t="s">
        <v>186</v>
      </c>
    </row>
    <row r="52" spans="1:1" x14ac:dyDescent="0.25">
      <c r="A52" s="9" t="s">
        <v>69</v>
      </c>
    </row>
    <row r="53" spans="1:1" x14ac:dyDescent="0.25">
      <c r="A53" s="9"/>
    </row>
    <row r="54" spans="1:1" x14ac:dyDescent="0.25">
      <c r="A54" s="9" t="s">
        <v>72</v>
      </c>
    </row>
    <row r="55" spans="1:1" x14ac:dyDescent="0.25">
      <c r="A55" s="9" t="s">
        <v>73</v>
      </c>
    </row>
    <row r="56" spans="1:1" x14ac:dyDescent="0.25">
      <c r="A56" s="9" t="s">
        <v>185</v>
      </c>
    </row>
    <row r="57" spans="1:1" x14ac:dyDescent="0.25">
      <c r="A57" s="9" t="s">
        <v>74</v>
      </c>
    </row>
    <row r="58" spans="1:1" x14ac:dyDescent="0.25">
      <c r="A58" s="9" t="s">
        <v>75</v>
      </c>
    </row>
    <row r="59" spans="1:1" x14ac:dyDescent="0.25">
      <c r="A59" s="9" t="s">
        <v>76</v>
      </c>
    </row>
    <row r="60" spans="1:1" x14ac:dyDescent="0.25">
      <c r="A60" s="9" t="s">
        <v>77</v>
      </c>
    </row>
    <row r="61" spans="1:1" x14ac:dyDescent="0.25">
      <c r="A61" s="9" t="s">
        <v>69</v>
      </c>
    </row>
    <row r="62" spans="1:1" x14ac:dyDescent="0.25">
      <c r="A62" s="9"/>
    </row>
    <row r="63" spans="1:1" x14ac:dyDescent="0.25">
      <c r="A63" s="9" t="s">
        <v>78</v>
      </c>
    </row>
    <row r="64" spans="1:1" x14ac:dyDescent="0.25">
      <c r="A64" s="9" t="s">
        <v>79</v>
      </c>
    </row>
    <row r="65" spans="1:1" x14ac:dyDescent="0.25">
      <c r="A65" s="9" t="s">
        <v>80</v>
      </c>
    </row>
    <row r="66" spans="1:1" x14ac:dyDescent="0.25">
      <c r="A66" s="9"/>
    </row>
    <row r="67" spans="1:1" x14ac:dyDescent="0.25">
      <c r="A67" s="9" t="s">
        <v>81</v>
      </c>
    </row>
    <row r="68" spans="1:1" x14ac:dyDescent="0.25">
      <c r="A68" s="9"/>
    </row>
    <row r="69" spans="1:1" x14ac:dyDescent="0.25">
      <c r="A69" s="9" t="s">
        <v>82</v>
      </c>
    </row>
    <row r="70" spans="1:1" x14ac:dyDescent="0.25">
      <c r="A70" s="9" t="s">
        <v>83</v>
      </c>
    </row>
    <row r="71" spans="1:1" x14ac:dyDescent="0.25">
      <c r="A71" s="9" t="s">
        <v>84</v>
      </c>
    </row>
    <row r="72" spans="1:1" x14ac:dyDescent="0.25">
      <c r="A72" s="9" t="s">
        <v>85</v>
      </c>
    </row>
    <row r="73" spans="1:1" x14ac:dyDescent="0.25">
      <c r="A73" s="9" t="s">
        <v>86</v>
      </c>
    </row>
    <row r="74" spans="1:1" x14ac:dyDescent="0.25">
      <c r="A74" s="9" t="s">
        <v>87</v>
      </c>
    </row>
    <row r="75" spans="1:1" x14ac:dyDescent="0.25">
      <c r="A75" s="9" t="s">
        <v>88</v>
      </c>
    </row>
    <row r="76" spans="1:1" x14ac:dyDescent="0.25">
      <c r="A76" s="9" t="s">
        <v>69</v>
      </c>
    </row>
    <row r="77" spans="1:1" x14ac:dyDescent="0.25">
      <c r="A77" s="9"/>
    </row>
    <row r="78" spans="1:1" x14ac:dyDescent="0.25">
      <c r="A78" s="9" t="s">
        <v>89</v>
      </c>
    </row>
    <row r="79" spans="1:1" x14ac:dyDescent="0.25">
      <c r="A79" s="9" t="s">
        <v>90</v>
      </c>
    </row>
    <row r="80" spans="1:1" x14ac:dyDescent="0.25">
      <c r="A80" s="9" t="s">
        <v>83</v>
      </c>
    </row>
    <row r="81" spans="1:1" x14ac:dyDescent="0.25">
      <c r="A81" s="9" t="s">
        <v>91</v>
      </c>
    </row>
    <row r="82" spans="1:1" x14ac:dyDescent="0.25">
      <c r="A82" s="9" t="s">
        <v>86</v>
      </c>
    </row>
    <row r="83" spans="1:1" x14ac:dyDescent="0.25">
      <c r="A83" s="9" t="s">
        <v>87</v>
      </c>
    </row>
    <row r="84" spans="1:1" x14ac:dyDescent="0.25">
      <c r="A84" s="9" t="s">
        <v>88</v>
      </c>
    </row>
    <row r="85" spans="1:1" x14ac:dyDescent="0.25">
      <c r="A85" s="9" t="s">
        <v>92</v>
      </c>
    </row>
    <row r="86" spans="1:1" x14ac:dyDescent="0.25">
      <c r="A86" s="9" t="s">
        <v>69</v>
      </c>
    </row>
    <row r="87" spans="1:1" x14ac:dyDescent="0.25">
      <c r="A87" s="9"/>
    </row>
    <row r="88" spans="1:1" x14ac:dyDescent="0.25">
      <c r="A88" s="9" t="s">
        <v>93</v>
      </c>
    </row>
    <row r="89" spans="1:1" x14ac:dyDescent="0.25">
      <c r="A89" s="9" t="s">
        <v>94</v>
      </c>
    </row>
    <row r="90" spans="1:1" x14ac:dyDescent="0.25">
      <c r="A90" s="9" t="s">
        <v>95</v>
      </c>
    </row>
    <row r="91" spans="1:1" x14ac:dyDescent="0.25">
      <c r="A91" s="9" t="s">
        <v>96</v>
      </c>
    </row>
    <row r="92" spans="1:1" x14ac:dyDescent="0.25">
      <c r="A92" s="9" t="s">
        <v>187</v>
      </c>
    </row>
    <row r="93" spans="1:1" x14ac:dyDescent="0.25">
      <c r="A93" s="9" t="s">
        <v>97</v>
      </c>
    </row>
    <row r="94" spans="1:1" x14ac:dyDescent="0.25">
      <c r="A94" s="9" t="s">
        <v>85</v>
      </c>
    </row>
    <row r="95" spans="1:1" x14ac:dyDescent="0.25">
      <c r="A95" s="9" t="s">
        <v>98</v>
      </c>
    </row>
    <row r="96" spans="1:1" x14ac:dyDescent="0.25">
      <c r="A96" s="9" t="s">
        <v>99</v>
      </c>
    </row>
    <row r="97" spans="1:1" x14ac:dyDescent="0.25">
      <c r="A97" s="9" t="s">
        <v>88</v>
      </c>
    </row>
    <row r="98" spans="1:1" x14ac:dyDescent="0.25">
      <c r="A98" s="9" t="s">
        <v>69</v>
      </c>
    </row>
    <row r="99" spans="1:1" x14ac:dyDescent="0.25">
      <c r="A99" s="9"/>
    </row>
    <row r="100" spans="1:1" x14ac:dyDescent="0.25">
      <c r="A100" s="9" t="s">
        <v>100</v>
      </c>
    </row>
    <row r="101" spans="1:1" x14ac:dyDescent="0.25">
      <c r="A101" s="9" t="s">
        <v>94</v>
      </c>
    </row>
    <row r="102" spans="1:1" x14ac:dyDescent="0.25">
      <c r="A102" s="9" t="s">
        <v>101</v>
      </c>
    </row>
    <row r="103" spans="1:1" x14ac:dyDescent="0.25">
      <c r="A103" s="9" t="s">
        <v>102</v>
      </c>
    </row>
    <row r="104" spans="1:1" x14ac:dyDescent="0.25">
      <c r="A104" s="9" t="s">
        <v>103</v>
      </c>
    </row>
    <row r="105" spans="1:1" x14ac:dyDescent="0.25">
      <c r="A105" s="9" t="s">
        <v>104</v>
      </c>
    </row>
    <row r="106" spans="1:1" x14ac:dyDescent="0.25">
      <c r="A106" s="9" t="s">
        <v>105</v>
      </c>
    </row>
    <row r="107" spans="1:1" x14ac:dyDescent="0.25">
      <c r="A107" s="9" t="s">
        <v>106</v>
      </c>
    </row>
    <row r="108" spans="1:1" x14ac:dyDescent="0.25">
      <c r="A108" s="9" t="s">
        <v>107</v>
      </c>
    </row>
    <row r="109" spans="1:1" x14ac:dyDescent="0.25">
      <c r="A109" s="9" t="s">
        <v>108</v>
      </c>
    </row>
    <row r="110" spans="1:1" x14ac:dyDescent="0.25">
      <c r="A110" s="9" t="s">
        <v>109</v>
      </c>
    </row>
    <row r="111" spans="1:1" x14ac:dyDescent="0.25">
      <c r="A111" s="9" t="s">
        <v>110</v>
      </c>
    </row>
    <row r="112" spans="1:1" x14ac:dyDescent="0.25">
      <c r="A112" s="9" t="s">
        <v>111</v>
      </c>
    </row>
    <row r="113" spans="1:1" x14ac:dyDescent="0.25">
      <c r="A113" s="9" t="s">
        <v>185</v>
      </c>
    </row>
    <row r="114" spans="1:1" x14ac:dyDescent="0.25">
      <c r="A114" s="9" t="s">
        <v>112</v>
      </c>
    </row>
    <row r="115" spans="1:1" x14ac:dyDescent="0.25">
      <c r="A115" s="9" t="s">
        <v>188</v>
      </c>
    </row>
    <row r="116" spans="1:1" x14ac:dyDescent="0.25">
      <c r="A116" s="9" t="s">
        <v>189</v>
      </c>
    </row>
    <row r="117" spans="1:1" x14ac:dyDescent="0.25">
      <c r="A117" s="9" t="s">
        <v>190</v>
      </c>
    </row>
    <row r="118" spans="1:1" x14ac:dyDescent="0.25">
      <c r="A118" s="9" t="s">
        <v>191</v>
      </c>
    </row>
    <row r="119" spans="1:1" x14ac:dyDescent="0.25">
      <c r="A119" s="9" t="s">
        <v>74</v>
      </c>
    </row>
    <row r="120" spans="1:1" x14ac:dyDescent="0.25">
      <c r="A120" s="9" t="s">
        <v>75</v>
      </c>
    </row>
    <row r="121" spans="1:1" x14ac:dyDescent="0.25">
      <c r="A121" s="9" t="s">
        <v>76</v>
      </c>
    </row>
    <row r="122" spans="1:1" x14ac:dyDescent="0.25">
      <c r="A122" s="9" t="s">
        <v>77</v>
      </c>
    </row>
    <row r="123" spans="1:1" x14ac:dyDescent="0.25">
      <c r="A123" s="9" t="s">
        <v>69</v>
      </c>
    </row>
    <row r="124" spans="1:1" x14ac:dyDescent="0.25">
      <c r="A124" s="9"/>
    </row>
    <row r="125" spans="1:1" x14ac:dyDescent="0.25">
      <c r="A125" s="9" t="s">
        <v>113</v>
      </c>
    </row>
    <row r="126" spans="1:1" x14ac:dyDescent="0.25">
      <c r="A126" s="9" t="s">
        <v>94</v>
      </c>
    </row>
    <row r="127" spans="1:1" x14ac:dyDescent="0.25">
      <c r="A127" s="9" t="s">
        <v>114</v>
      </c>
    </row>
    <row r="128" spans="1:1" x14ac:dyDescent="0.25">
      <c r="A128" s="9" t="s">
        <v>115</v>
      </c>
    </row>
    <row r="129" spans="1:1" x14ac:dyDescent="0.25">
      <c r="A129" s="9" t="s">
        <v>116</v>
      </c>
    </row>
    <row r="130" spans="1:1" x14ac:dyDescent="0.25">
      <c r="A130" s="9" t="s">
        <v>117</v>
      </c>
    </row>
    <row r="131" spans="1:1" x14ac:dyDescent="0.25">
      <c r="A131" s="9" t="s">
        <v>118</v>
      </c>
    </row>
    <row r="132" spans="1:1" x14ac:dyDescent="0.25">
      <c r="A132" s="9" t="s">
        <v>119</v>
      </c>
    </row>
    <row r="133" spans="1:1" x14ac:dyDescent="0.25">
      <c r="A133" s="9" t="s">
        <v>120</v>
      </c>
    </row>
    <row r="134" spans="1:1" x14ac:dyDescent="0.25">
      <c r="A134" s="9" t="s">
        <v>121</v>
      </c>
    </row>
    <row r="135" spans="1:1" x14ac:dyDescent="0.25">
      <c r="A135" s="9" t="s">
        <v>122</v>
      </c>
    </row>
    <row r="136" spans="1:1" x14ac:dyDescent="0.25">
      <c r="A136" s="9" t="s">
        <v>123</v>
      </c>
    </row>
    <row r="137" spans="1:1" x14ac:dyDescent="0.25">
      <c r="A137" s="9" t="s">
        <v>124</v>
      </c>
    </row>
    <row r="138" spans="1:1" x14ac:dyDescent="0.25">
      <c r="A138" s="9" t="s">
        <v>125</v>
      </c>
    </row>
    <row r="139" spans="1:1" x14ac:dyDescent="0.25">
      <c r="A139" s="9" t="s">
        <v>126</v>
      </c>
    </row>
    <row r="140" spans="1:1" x14ac:dyDescent="0.25">
      <c r="A140" s="9" t="s">
        <v>127</v>
      </c>
    </row>
    <row r="141" spans="1:1" x14ac:dyDescent="0.25">
      <c r="A141" s="9" t="s">
        <v>128</v>
      </c>
    </row>
    <row r="142" spans="1:1" x14ac:dyDescent="0.25">
      <c r="A142" s="9" t="s">
        <v>129</v>
      </c>
    </row>
    <row r="143" spans="1:1" x14ac:dyDescent="0.25">
      <c r="A143" s="9" t="s">
        <v>130</v>
      </c>
    </row>
    <row r="144" spans="1:1" x14ac:dyDescent="0.25">
      <c r="A144" s="9" t="s">
        <v>131</v>
      </c>
    </row>
    <row r="145" spans="1:1" x14ac:dyDescent="0.25">
      <c r="A145" s="9" t="s">
        <v>132</v>
      </c>
    </row>
    <row r="146" spans="1:1" x14ac:dyDescent="0.25">
      <c r="A146" s="9" t="s">
        <v>133</v>
      </c>
    </row>
    <row r="147" spans="1:1" x14ac:dyDescent="0.25">
      <c r="A147" s="9" t="s">
        <v>134</v>
      </c>
    </row>
    <row r="148" spans="1:1" x14ac:dyDescent="0.25">
      <c r="A148" s="9" t="s">
        <v>135</v>
      </c>
    </row>
    <row r="149" spans="1:1" x14ac:dyDescent="0.25">
      <c r="A149" s="9" t="s">
        <v>136</v>
      </c>
    </row>
    <row r="150" spans="1:1" x14ac:dyDescent="0.25">
      <c r="A150" s="9" t="s">
        <v>137</v>
      </c>
    </row>
    <row r="151" spans="1:1" x14ac:dyDescent="0.25">
      <c r="A151" s="9" t="s">
        <v>138</v>
      </c>
    </row>
    <row r="152" spans="1:1" x14ac:dyDescent="0.25">
      <c r="A152" s="9" t="s">
        <v>139</v>
      </c>
    </row>
    <row r="153" spans="1:1" x14ac:dyDescent="0.25">
      <c r="A153" s="9" t="s">
        <v>140</v>
      </c>
    </row>
    <row r="154" spans="1:1" x14ac:dyDescent="0.25">
      <c r="A154" s="9" t="s">
        <v>141</v>
      </c>
    </row>
    <row r="155" spans="1:1" x14ac:dyDescent="0.25">
      <c r="A155" s="9" t="s">
        <v>142</v>
      </c>
    </row>
    <row r="156" spans="1:1" x14ac:dyDescent="0.25">
      <c r="A156" s="9" t="s">
        <v>69</v>
      </c>
    </row>
    <row r="157" spans="1:1" x14ac:dyDescent="0.25">
      <c r="A157" s="9"/>
    </row>
    <row r="158" spans="1:1" x14ac:dyDescent="0.25">
      <c r="A158" s="9" t="s">
        <v>143</v>
      </c>
    </row>
    <row r="159" spans="1:1" x14ac:dyDescent="0.25">
      <c r="A159" s="9" t="s">
        <v>94</v>
      </c>
    </row>
    <row r="160" spans="1:1" x14ac:dyDescent="0.25">
      <c r="A160" s="9" t="s">
        <v>144</v>
      </c>
    </row>
    <row r="161" spans="1:1" x14ac:dyDescent="0.25">
      <c r="A161" s="9" t="s">
        <v>145</v>
      </c>
    </row>
    <row r="162" spans="1:1" x14ac:dyDescent="0.25">
      <c r="A162" s="9" t="s">
        <v>117</v>
      </c>
    </row>
    <row r="163" spans="1:1" x14ac:dyDescent="0.25">
      <c r="A163" s="9" t="s">
        <v>118</v>
      </c>
    </row>
    <row r="164" spans="1:1" x14ac:dyDescent="0.25">
      <c r="A164" s="9" t="s">
        <v>119</v>
      </c>
    </row>
    <row r="165" spans="1:1" x14ac:dyDescent="0.25">
      <c r="A165" s="9" t="s">
        <v>120</v>
      </c>
    </row>
    <row r="166" spans="1:1" x14ac:dyDescent="0.25">
      <c r="A166" s="9" t="s">
        <v>146</v>
      </c>
    </row>
    <row r="167" spans="1:1" x14ac:dyDescent="0.25">
      <c r="A167" s="9" t="s">
        <v>147</v>
      </c>
    </row>
    <row r="168" spans="1:1" x14ac:dyDescent="0.25">
      <c r="A168" s="9" t="s">
        <v>148</v>
      </c>
    </row>
    <row r="169" spans="1:1" x14ac:dyDescent="0.25">
      <c r="A169" s="9" t="s">
        <v>149</v>
      </c>
    </row>
    <row r="170" spans="1:1" x14ac:dyDescent="0.25">
      <c r="A170" s="9" t="s">
        <v>150</v>
      </c>
    </row>
    <row r="171" spans="1:1" x14ac:dyDescent="0.25">
      <c r="A171" s="9" t="s">
        <v>151</v>
      </c>
    </row>
    <row r="172" spans="1:1" x14ac:dyDescent="0.25">
      <c r="A172" s="9" t="s">
        <v>152</v>
      </c>
    </row>
    <row r="173" spans="1:1" x14ac:dyDescent="0.25">
      <c r="A173" s="9" t="s">
        <v>117</v>
      </c>
    </row>
    <row r="174" spans="1:1" x14ac:dyDescent="0.25">
      <c r="A174" s="9" t="s">
        <v>118</v>
      </c>
    </row>
    <row r="175" spans="1:1" x14ac:dyDescent="0.25">
      <c r="A175" s="9" t="s">
        <v>119</v>
      </c>
    </row>
    <row r="176" spans="1:1" x14ac:dyDescent="0.25">
      <c r="A176" s="9" t="s">
        <v>153</v>
      </c>
    </row>
    <row r="177" spans="1:1" x14ac:dyDescent="0.25">
      <c r="A177" s="9" t="s">
        <v>154</v>
      </c>
    </row>
    <row r="178" spans="1:1" x14ac:dyDescent="0.25">
      <c r="A178" s="9"/>
    </row>
    <row r="179" spans="1:1" x14ac:dyDescent="0.25">
      <c r="A179" s="9" t="s">
        <v>155</v>
      </c>
    </row>
    <row r="180" spans="1:1" x14ac:dyDescent="0.25">
      <c r="A180" s="9" t="s">
        <v>156</v>
      </c>
    </row>
    <row r="181" spans="1:1" x14ac:dyDescent="0.25">
      <c r="A181" s="9" t="s">
        <v>157</v>
      </c>
    </row>
    <row r="182" spans="1:1" x14ac:dyDescent="0.25">
      <c r="A182" s="9" t="s">
        <v>158</v>
      </c>
    </row>
    <row r="183" spans="1:1" x14ac:dyDescent="0.25">
      <c r="A183" s="9" t="s">
        <v>159</v>
      </c>
    </row>
    <row r="184" spans="1:1" x14ac:dyDescent="0.25">
      <c r="A184" s="9" t="s">
        <v>160</v>
      </c>
    </row>
    <row r="185" spans="1:1" x14ac:dyDescent="0.25">
      <c r="A185" s="9" t="s">
        <v>161</v>
      </c>
    </row>
    <row r="186" spans="1:1" x14ac:dyDescent="0.25">
      <c r="A186" s="9" t="s">
        <v>162</v>
      </c>
    </row>
    <row r="187" spans="1:1" x14ac:dyDescent="0.25">
      <c r="A187" s="9" t="s">
        <v>163</v>
      </c>
    </row>
    <row r="188" spans="1:1" x14ac:dyDescent="0.25">
      <c r="A188" s="9" t="s">
        <v>164</v>
      </c>
    </row>
    <row r="189" spans="1:1" x14ac:dyDescent="0.25">
      <c r="A189" s="9" t="s">
        <v>165</v>
      </c>
    </row>
    <row r="190" spans="1:1" x14ac:dyDescent="0.25">
      <c r="A190" s="9" t="s">
        <v>166</v>
      </c>
    </row>
    <row r="191" spans="1:1" x14ac:dyDescent="0.25">
      <c r="A191" s="9" t="s">
        <v>167</v>
      </c>
    </row>
    <row r="192" spans="1:1" x14ac:dyDescent="0.25">
      <c r="A192" s="9" t="s">
        <v>168</v>
      </c>
    </row>
    <row r="193" spans="1:1" x14ac:dyDescent="0.25">
      <c r="A193" s="9" t="s">
        <v>169</v>
      </c>
    </row>
    <row r="194" spans="1:1" x14ac:dyDescent="0.25">
      <c r="A194" s="9" t="s">
        <v>170</v>
      </c>
    </row>
    <row r="195" spans="1:1" x14ac:dyDescent="0.25">
      <c r="A195" s="9" t="s">
        <v>192</v>
      </c>
    </row>
    <row r="196" spans="1:1" x14ac:dyDescent="0.25">
      <c r="A196" s="9" t="s">
        <v>193</v>
      </c>
    </row>
    <row r="197" spans="1:1" x14ac:dyDescent="0.25">
      <c r="A197" s="9" t="s">
        <v>194</v>
      </c>
    </row>
    <row r="198" spans="1:1" x14ac:dyDescent="0.25">
      <c r="A198" s="9" t="s">
        <v>171</v>
      </c>
    </row>
    <row r="199" spans="1:1" x14ac:dyDescent="0.25">
      <c r="A199" s="9" t="s">
        <v>172</v>
      </c>
    </row>
    <row r="200" spans="1:1" x14ac:dyDescent="0.25">
      <c r="A200" s="9" t="s">
        <v>173</v>
      </c>
    </row>
    <row r="201" spans="1:1" x14ac:dyDescent="0.25">
      <c r="A201" s="9" t="s">
        <v>174</v>
      </c>
    </row>
    <row r="202" spans="1:1" x14ac:dyDescent="0.25">
      <c r="A202" s="9" t="s">
        <v>175</v>
      </c>
    </row>
    <row r="203" spans="1:1" x14ac:dyDescent="0.25">
      <c r="A203" s="9" t="s">
        <v>176</v>
      </c>
    </row>
    <row r="204" spans="1:1" x14ac:dyDescent="0.25">
      <c r="A204" s="9" t="s">
        <v>177</v>
      </c>
    </row>
    <row r="205" spans="1:1" x14ac:dyDescent="0.25">
      <c r="A205" s="9" t="s">
        <v>178</v>
      </c>
    </row>
    <row r="206" spans="1:1" x14ac:dyDescent="0.25">
      <c r="A206" s="9" t="s">
        <v>179</v>
      </c>
    </row>
    <row r="207" spans="1:1" x14ac:dyDescent="0.25">
      <c r="A207" s="9" t="s">
        <v>180</v>
      </c>
    </row>
    <row r="208" spans="1:1" x14ac:dyDescent="0.25">
      <c r="A208" s="9" t="s">
        <v>181</v>
      </c>
    </row>
    <row r="209" spans="1:1" x14ac:dyDescent="0.25">
      <c r="A209" s="9" t="s">
        <v>182</v>
      </c>
    </row>
    <row r="210" spans="1:1" x14ac:dyDescent="0.25">
      <c r="A210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tbl_Parametros</vt:lpstr>
      <vt:lpstr>Base1</vt:lpstr>
      <vt:lpstr>qry1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Santos Gonçalves</dc:creator>
  <cp:lastModifiedBy>Karina Santos Gonçalves</cp:lastModifiedBy>
  <dcterms:created xsi:type="dcterms:W3CDTF">2026-08-11T13:10:32Z</dcterms:created>
  <dcterms:modified xsi:type="dcterms:W3CDTF">2026-08-11T13:28:21Z</dcterms:modified>
</cp:coreProperties>
</file>